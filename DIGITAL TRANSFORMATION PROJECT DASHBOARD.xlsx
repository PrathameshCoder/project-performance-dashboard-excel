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Excel\"/>
    </mc:Choice>
  </mc:AlternateContent>
  <xr:revisionPtr revIDLastSave="0" documentId="13_ncr:1_{EF735B76-6586-4D06-AE13-9C0EF08B345B}" xr6:coauthVersionLast="47" xr6:coauthVersionMax="47" xr10:uidLastSave="{00000000-0000-0000-0000-000000000000}"/>
  <bookViews>
    <workbookView xWindow="-108" yWindow="-108" windowWidth="23256" windowHeight="12456" xr2:uid="{FE50C1DB-73D2-4662-9A04-92E5EBDC630F}"/>
  </bookViews>
  <sheets>
    <sheet name="Data" sheetId="1" r:id="rId1"/>
    <sheet name="Dashboard" sheetId="2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" i="2" l="1"/>
  <c r="B9" i="2"/>
  <c r="L4" i="2" s="1"/>
  <c r="B8" i="2"/>
  <c r="J4" i="2" s="1"/>
  <c r="B4" i="2"/>
  <c r="H4" i="2" s="1"/>
  <c r="B3" i="2"/>
  <c r="B2" i="2"/>
  <c r="L3" i="1"/>
  <c r="L4" i="1"/>
  <c r="L5" i="1"/>
  <c r="L6" i="1"/>
  <c r="L2" i="1"/>
  <c r="K3" i="1"/>
  <c r="K4" i="1"/>
  <c r="K5" i="1"/>
  <c r="K6" i="1"/>
  <c r="K2" i="1"/>
  <c r="J3" i="1"/>
  <c r="J4" i="1"/>
  <c r="J5" i="1"/>
  <c r="J6" i="1"/>
  <c r="J2" i="1"/>
  <c r="B7" i="2" l="1"/>
  <c r="F4" i="2"/>
  <c r="B6" i="2"/>
  <c r="B5" i="2"/>
  <c r="D8" i="2" s="1"/>
  <c r="D4" i="2"/>
</calcChain>
</file>

<file path=xl/sharedStrings.xml><?xml version="1.0" encoding="utf-8"?>
<sst xmlns="http://schemas.openxmlformats.org/spreadsheetml/2006/main" count="95" uniqueCount="73">
  <si>
    <t>Workstream</t>
  </si>
  <si>
    <t>Owner</t>
  </si>
  <si>
    <t>Budget (€)</t>
  </si>
  <si>
    <t>Actual Cost (€)</t>
  </si>
  <si>
    <t>Forecast Cost (€)</t>
  </si>
  <si>
    <t>Planned Progress %</t>
  </si>
  <si>
    <t>Actual Progress %</t>
  </si>
  <si>
    <t>Open Risks</t>
  </si>
  <si>
    <t>Status</t>
  </si>
  <si>
    <t>Requirements</t>
  </si>
  <si>
    <t>Anna</t>
  </si>
  <si>
    <t>Green</t>
  </si>
  <si>
    <t>Development</t>
  </si>
  <si>
    <t>Mark</t>
  </si>
  <si>
    <t>Amber</t>
  </si>
  <si>
    <t>Testing</t>
  </si>
  <si>
    <t>Sarah</t>
  </si>
  <si>
    <t>Training</t>
  </si>
  <si>
    <t>Lukas</t>
  </si>
  <si>
    <t>Deployment</t>
  </si>
  <si>
    <t>Emma</t>
  </si>
  <si>
    <t>Budget Variance</t>
  </si>
  <si>
    <t>Forecast Variance</t>
  </si>
  <si>
    <t>Progress Variance</t>
  </si>
  <si>
    <t>KPI</t>
  </si>
  <si>
    <t>Result</t>
  </si>
  <si>
    <t>Total Budget</t>
  </si>
  <si>
    <t>Forecast Cost</t>
  </si>
  <si>
    <t>Remaining Budget</t>
  </si>
  <si>
    <t>Budget Utilization</t>
  </si>
  <si>
    <t xml:space="preserve">Overall Progress </t>
  </si>
  <si>
    <t>DIGITAL TRANSFORMATION PROJECT DASHBOARD</t>
  </si>
  <si>
    <t>TOTAL BUDGET</t>
  </si>
  <si>
    <t>Project Progress</t>
  </si>
  <si>
    <t>Actual Spend</t>
  </si>
  <si>
    <t>Management Insights</t>
  </si>
  <si>
    <t>Development is forecast to exceed budget by €2,000.</t>
  </si>
  <si>
    <t>Testing is 10 percentage points behind planned progress</t>
  </si>
  <si>
    <t>Overall project completion is 46%.</t>
  </si>
  <si>
    <t>The project is forecast to exceed the total budget by €1,800.</t>
  </si>
  <si>
    <t>Reason</t>
  </si>
  <si>
    <t>Completed as planned</t>
  </si>
  <si>
    <t>5% behind plan and forecast over budget</t>
  </si>
  <si>
    <t>Red</t>
  </si>
  <si>
    <t>10% behind planned progress</t>
  </si>
  <si>
    <t>10% behind plan and forecast over budget</t>
  </si>
  <si>
    <t>Not yet started; no current cost overrun</t>
  </si>
  <si>
    <t>RAG Status Summary</t>
  </si>
  <si>
    <t>Budget, Forecast &amp; KPI Performance Overview</t>
  </si>
  <si>
    <t>Project Title</t>
  </si>
  <si>
    <t>Digital Transformation Project Performance Dashboard</t>
  </si>
  <si>
    <t>Objective</t>
  </si>
  <si>
    <t>To create a simple project management dashboard for monitoring budget, actual spend, forecast cost, project progress, open risks, and overall project status.</t>
  </si>
  <si>
    <t>Tools Used</t>
  </si>
  <si>
    <t>Microsoft Excel, formulas, charts, conditional formatting, KPI cards, and RAG status reporting.</t>
  </si>
  <si>
    <t>Key Metrics Tracked</t>
  </si>
  <si>
    <t>Total budget</t>
  </si>
  <si>
    <t>Actual spend</t>
  </si>
  <si>
    <t>Forecast cost</t>
  </si>
  <si>
    <t>Remaining budget</t>
  </si>
  <si>
    <t>Forecast variance</t>
  </si>
  <si>
    <t>Budget utilization</t>
  </si>
  <si>
    <t>Overall progress</t>
  </si>
  <si>
    <t>Open risks</t>
  </si>
  <si>
    <t>Key Findings</t>
  </si>
  <si>
    <t>Total project budget: €65,000</t>
  </si>
  <si>
    <t>Forecast project cost: €66,800</t>
  </si>
  <si>
    <t>Forecast overrun: €1,800</t>
  </si>
  <si>
    <t>Overall progress: 46%</t>
  </si>
  <si>
    <t>Development is forecast to exceed budget and is behind schedule</t>
  </si>
  <si>
    <t>Dashboard Purpose</t>
  </si>
  <si>
    <t>The dashboard provides management with a quick overview of project financial performance, schedule performance, risks, and areas requiring attention.</t>
  </si>
  <si>
    <t>Note: This dashboard uses fictional project data and was created as a portfolio exercise.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</si>
</sst>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_-[$€-2]\ * #,##0.00_-;\-[$€-2]\ * #,##0.00_-;_-[$€-2]\ * &quot;-&quot;??_-;_-@_-"/>
    <numFmt numFmtId="169" formatCode="0.0%"/>
    <numFmt numFmtId="171" formatCode="&quot;€&quot;#,##0;[Red]\-&quot;€&quot;#,##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39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/>
    <xf numFmtId="9" fontId="0" fillId="0" borderId="0" xfId="0" applyNumberFormat="1" applyAlignment="1">
      <alignment horizontal="right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169" fontId="0" fillId="0" borderId="0" xfId="1" applyNumberFormat="1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0" fillId="0" borderId="1" xfId="0" applyFont="1" applyBorder="1"/>
    <xf numFmtId="0" fontId="3" fillId="6" borderId="1" xfId="7" applyFont="1" applyBorder="1" applyAlignment="1">
      <alignment horizontal="center"/>
    </xf>
    <xf numFmtId="0" fontId="1" fillId="6" borderId="1" xfId="7" applyBorder="1" applyAlignment="1">
      <alignment horizontal="center"/>
    </xf>
    <xf numFmtId="0" fontId="3" fillId="8" borderId="1" xfId="9" applyFont="1" applyBorder="1" applyAlignment="1">
      <alignment horizontal="center"/>
    </xf>
    <xf numFmtId="0" fontId="1" fillId="8" borderId="1" xfId="9" applyBorder="1" applyAlignment="1">
      <alignment horizontal="center"/>
    </xf>
    <xf numFmtId="0" fontId="3" fillId="4" borderId="1" xfId="5" applyFont="1" applyBorder="1" applyAlignment="1">
      <alignment horizontal="center"/>
    </xf>
    <xf numFmtId="0" fontId="1" fillId="4" borderId="1" xfId="5" applyBorder="1" applyAlignment="1">
      <alignment horizontal="center"/>
    </xf>
    <xf numFmtId="168" fontId="1" fillId="5" borderId="1" xfId="6" applyNumberFormat="1" applyBorder="1" applyAlignment="1">
      <alignment horizontal="center"/>
    </xf>
    <xf numFmtId="9" fontId="1" fillId="7" borderId="1" xfId="8" applyNumberFormat="1" applyBorder="1" applyAlignment="1">
      <alignment horizontal="center"/>
    </xf>
    <xf numFmtId="0" fontId="1" fillId="7" borderId="1" xfId="8" applyBorder="1" applyAlignment="1">
      <alignment horizontal="center"/>
    </xf>
    <xf numFmtId="0" fontId="1" fillId="3" borderId="1" xfId="4" applyBorder="1" applyAlignment="1">
      <alignment horizontal="center"/>
    </xf>
    <xf numFmtId="168" fontId="1" fillId="2" borderId="1" xfId="3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3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171" fontId="2" fillId="4" borderId="1" xfId="2" applyNumberFormat="1" applyFill="1" applyBorder="1" applyAlignment="1">
      <alignment horizontal="center"/>
    </xf>
  </cellXfs>
  <cellStyles count="10">
    <cellStyle name="40% - Accent1" xfId="3" builtinId="31"/>
    <cellStyle name="40% - Accent4" xfId="6" builtinId="43"/>
    <cellStyle name="40% - Accent6" xfId="8" builtinId="51"/>
    <cellStyle name="60% - Accent1" xfId="4" builtinId="32"/>
    <cellStyle name="60% - Accent2" xfId="5" builtinId="36"/>
    <cellStyle name="60% - Accent4" xfId="7" builtinId="44"/>
    <cellStyle name="60% - Accent6" xfId="9" builtinId="52"/>
    <cellStyle name="Normal" xfId="0" builtinId="0"/>
    <cellStyle name="Percent" xfId="1" builtinId="5"/>
    <cellStyle name="Warning Text" xfId="2" builtinId="11"/>
  </cellStyles>
  <dxfs count="3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vs Actual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Budget (€)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Requirements</c:v>
                </c:pt>
                <c:pt idx="1">
                  <c:v>Development</c:v>
                </c:pt>
                <c:pt idx="2">
                  <c:v>Testing</c:v>
                </c:pt>
                <c:pt idx="3">
                  <c:v>Training</c:v>
                </c:pt>
                <c:pt idx="4">
                  <c:v>Deployment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8000</c:v>
                </c:pt>
                <c:pt idx="1">
                  <c:v>30000</c:v>
                </c:pt>
                <c:pt idx="2">
                  <c:v>12000</c:v>
                </c:pt>
                <c:pt idx="3">
                  <c:v>6000</c:v>
                </c:pt>
                <c:pt idx="4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3-4C31-8017-9FF24E8BE467}"/>
            </c:ext>
          </c:extLst>
        </c:ser>
        <c:ser>
          <c:idx val="1"/>
          <c:order val="1"/>
          <c:tx>
            <c:strRef>
              <c:f>Data!$D$1</c:f>
              <c:strCache>
                <c:ptCount val="1"/>
                <c:pt idx="0">
                  <c:v>Actual Cost (€)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Requirements</c:v>
                </c:pt>
                <c:pt idx="1">
                  <c:v>Development</c:v>
                </c:pt>
                <c:pt idx="2">
                  <c:v>Testing</c:v>
                </c:pt>
                <c:pt idx="3">
                  <c:v>Training</c:v>
                </c:pt>
                <c:pt idx="4">
                  <c:v>Deployment</c:v>
                </c:pt>
              </c:strCache>
            </c:strRef>
          </c:cat>
          <c:val>
            <c:numRef>
              <c:f>Data!$D$2:$D$6</c:f>
              <c:numCache>
                <c:formatCode>General</c:formatCode>
                <c:ptCount val="5"/>
                <c:pt idx="0">
                  <c:v>7500</c:v>
                </c:pt>
                <c:pt idx="1">
                  <c:v>22000</c:v>
                </c:pt>
                <c:pt idx="2">
                  <c:v>5000</c:v>
                </c:pt>
                <c:pt idx="3">
                  <c:v>1500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C3-4C31-8017-9FF24E8BE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4003264"/>
        <c:axId val="1921750416"/>
      </c:barChart>
      <c:catAx>
        <c:axId val="209400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21750416"/>
        <c:crosses val="autoZero"/>
        <c:auto val="1"/>
        <c:lblAlgn val="ctr"/>
        <c:lblOffset val="100"/>
        <c:noMultiLvlLbl val="0"/>
      </c:catAx>
      <c:valAx>
        <c:axId val="192175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9400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Planned vs Actual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Planned Progress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Requirements</c:v>
                </c:pt>
                <c:pt idx="1">
                  <c:v>Development</c:v>
                </c:pt>
                <c:pt idx="2">
                  <c:v>Testing</c:v>
                </c:pt>
                <c:pt idx="3">
                  <c:v>Training</c:v>
                </c:pt>
                <c:pt idx="4">
                  <c:v>Deployment</c:v>
                </c:pt>
              </c:strCache>
            </c:strRef>
          </c:cat>
          <c:val>
            <c:numRef>
              <c:f>Data!$F$2:$F$6</c:f>
              <c:numCache>
                <c:formatCode>0%</c:formatCode>
                <c:ptCount val="5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0.3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D-4F51-9147-B13A5A2067F3}"/>
            </c:ext>
          </c:extLst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Actual Progress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Requirements</c:v>
                </c:pt>
                <c:pt idx="1">
                  <c:v>Development</c:v>
                </c:pt>
                <c:pt idx="2">
                  <c:v>Testing</c:v>
                </c:pt>
                <c:pt idx="3">
                  <c:v>Training</c:v>
                </c:pt>
                <c:pt idx="4">
                  <c:v>Deployment</c:v>
                </c:pt>
              </c:strCache>
            </c:strRef>
          </c:cat>
          <c:val>
            <c:numRef>
              <c:f>Data!$G$2:$G$6</c:f>
              <c:numCache>
                <c:formatCode>0%</c:formatCode>
                <c:ptCount val="5"/>
                <c:pt idx="0">
                  <c:v>1</c:v>
                </c:pt>
                <c:pt idx="1">
                  <c:v>0.7</c:v>
                </c:pt>
                <c:pt idx="2">
                  <c:v>0.4</c:v>
                </c:pt>
                <c:pt idx="3">
                  <c:v>0.2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0D-4F51-9147-B13A5A206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593616"/>
        <c:axId val="1921648176"/>
      </c:barChart>
      <c:catAx>
        <c:axId val="212859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21648176"/>
        <c:crosses val="autoZero"/>
        <c:auto val="1"/>
        <c:lblAlgn val="ctr"/>
        <c:lblOffset val="100"/>
        <c:noMultiLvlLbl val="0"/>
      </c:catAx>
      <c:valAx>
        <c:axId val="192164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12859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vs Forecast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Budget (€)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Requirements</c:v>
                </c:pt>
                <c:pt idx="1">
                  <c:v>Development</c:v>
                </c:pt>
                <c:pt idx="2">
                  <c:v>Testing</c:v>
                </c:pt>
                <c:pt idx="3">
                  <c:v>Training</c:v>
                </c:pt>
                <c:pt idx="4">
                  <c:v>Deployment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8000</c:v>
                </c:pt>
                <c:pt idx="1">
                  <c:v>30000</c:v>
                </c:pt>
                <c:pt idx="2">
                  <c:v>12000</c:v>
                </c:pt>
                <c:pt idx="3">
                  <c:v>6000</c:v>
                </c:pt>
                <c:pt idx="4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2-4BCF-8AF0-4CC2CAB1E673}"/>
            </c:ext>
          </c:extLst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Forecast Cost (€)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Requirements</c:v>
                </c:pt>
                <c:pt idx="1">
                  <c:v>Development</c:v>
                </c:pt>
                <c:pt idx="2">
                  <c:v>Testing</c:v>
                </c:pt>
                <c:pt idx="3">
                  <c:v>Training</c:v>
                </c:pt>
                <c:pt idx="4">
                  <c:v>Deployment</c:v>
                </c:pt>
              </c:strCache>
            </c:strRef>
          </c:cat>
          <c:val>
            <c:numRef>
              <c:f>Data!$E$2:$E$6</c:f>
              <c:numCache>
                <c:formatCode>General</c:formatCode>
                <c:ptCount val="5"/>
                <c:pt idx="0">
                  <c:v>7800</c:v>
                </c:pt>
                <c:pt idx="1">
                  <c:v>32000</c:v>
                </c:pt>
                <c:pt idx="2">
                  <c:v>11500</c:v>
                </c:pt>
                <c:pt idx="3">
                  <c:v>6500</c:v>
                </c:pt>
                <c:pt idx="4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F2-4BCF-8AF0-4CC2CAB1E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71536"/>
        <c:axId val="1921788816"/>
      </c:barChart>
      <c:catAx>
        <c:axId val="8477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21788816"/>
        <c:crosses val="autoZero"/>
        <c:auto val="1"/>
        <c:lblAlgn val="ctr"/>
        <c:lblOffset val="100"/>
        <c:noMultiLvlLbl val="0"/>
      </c:catAx>
      <c:valAx>
        <c:axId val="192178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477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10</xdr:row>
      <xdr:rowOff>152400</xdr:rowOff>
    </xdr:from>
    <xdr:to>
      <xdr:col>6</xdr:col>
      <xdr:colOff>441960</xdr:colOff>
      <xdr:row>25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C4D05F-92E9-43AD-BABF-279BEEC66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137160</xdr:colOff>
      <xdr:row>10</xdr:row>
      <xdr:rowOff>144780</xdr:rowOff>
    </xdr:from>
    <xdr:to>
      <xdr:col>13</xdr:col>
      <xdr:colOff>838200</xdr:colOff>
      <xdr:row>25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FD6216-3CD5-4084-A92E-5E1E60378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205740</xdr:colOff>
      <xdr:row>10</xdr:row>
      <xdr:rowOff>160020</xdr:rowOff>
    </xdr:from>
    <xdr:to>
      <xdr:col>17</xdr:col>
      <xdr:colOff>495300</xdr:colOff>
      <xdr:row>25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C37109-358D-4A8B-B367-562645660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CB48-3FF9-4938-A41E-50CEFABF1D84}">
  <dimension ref="A1:L6"/>
  <sheetViews>
    <sheetView tabSelected="1" workbookViewId="0">
      <selection activeCell="I6" sqref="I6"/>
    </sheetView>
  </sheetViews>
  <sheetFormatPr defaultRowHeight="14.4" x14ac:dyDescent="0.3"/>
  <cols>
    <col min="1" max="1" width="12" customWidth="1"/>
    <col min="3" max="3" width="11.109375" customWidth="1"/>
    <col min="4" max="4" width="12.44140625" customWidth="1"/>
    <col min="5" max="5" width="11.6640625" customWidth="1"/>
    <col min="6" max="6" width="11.77734375" customWidth="1"/>
    <col min="7" max="7" width="10.6640625" customWidth="1"/>
    <col min="10" max="10" width="14.33203125" customWidth="1"/>
    <col min="11" max="11" width="16" customWidth="1"/>
    <col min="12" max="12" width="16.21875" customWidth="1"/>
  </cols>
  <sheetData>
    <row r="1" spans="1:12" ht="28.8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7" t="s">
        <v>21</v>
      </c>
      <c r="K1" s="7" t="s">
        <v>22</v>
      </c>
      <c r="L1" s="7" t="s">
        <v>23</v>
      </c>
    </row>
    <row r="2" spans="1:12" ht="28.8" x14ac:dyDescent="0.3">
      <c r="A2" s="4" t="s">
        <v>9</v>
      </c>
      <c r="B2" s="4" t="s">
        <v>10</v>
      </c>
      <c r="C2" s="2">
        <v>8000</v>
      </c>
      <c r="D2" s="2">
        <v>7500</v>
      </c>
      <c r="E2" s="2">
        <v>7800</v>
      </c>
      <c r="F2" s="6">
        <v>1</v>
      </c>
      <c r="G2" s="6">
        <v>1</v>
      </c>
      <c r="H2" s="2">
        <v>0</v>
      </c>
      <c r="I2" s="4" t="s">
        <v>11</v>
      </c>
      <c r="J2">
        <f>C2-D2</f>
        <v>500</v>
      </c>
      <c r="K2">
        <f>C2-E2</f>
        <v>200</v>
      </c>
      <c r="L2" s="5">
        <f>G2-F2</f>
        <v>0</v>
      </c>
    </row>
    <row r="3" spans="1:12" ht="28.8" x14ac:dyDescent="0.3">
      <c r="A3" s="4" t="s">
        <v>12</v>
      </c>
      <c r="B3" s="4" t="s">
        <v>13</v>
      </c>
      <c r="C3" s="2">
        <v>30000</v>
      </c>
      <c r="D3" s="2">
        <v>22000</v>
      </c>
      <c r="E3" s="2">
        <v>32000</v>
      </c>
      <c r="F3" s="6">
        <v>0.75</v>
      </c>
      <c r="G3" s="6">
        <v>0.7</v>
      </c>
      <c r="H3" s="2">
        <v>3</v>
      </c>
      <c r="I3" s="4" t="s">
        <v>14</v>
      </c>
      <c r="J3">
        <f t="shared" ref="J3:J6" si="0">C3-D3</f>
        <v>8000</v>
      </c>
      <c r="K3">
        <f t="shared" ref="K3:K6" si="1">C3-E3</f>
        <v>-2000</v>
      </c>
      <c r="L3" s="5">
        <f t="shared" ref="L3:L6" si="2">G3-F3</f>
        <v>-5.0000000000000044E-2</v>
      </c>
    </row>
    <row r="4" spans="1:12" x14ac:dyDescent="0.3">
      <c r="A4" s="4" t="s">
        <v>15</v>
      </c>
      <c r="B4" s="4" t="s">
        <v>16</v>
      </c>
      <c r="C4" s="2">
        <v>12000</v>
      </c>
      <c r="D4" s="2">
        <v>5000</v>
      </c>
      <c r="E4" s="2">
        <v>11500</v>
      </c>
      <c r="F4" s="6">
        <v>0.5</v>
      </c>
      <c r="G4" s="6">
        <v>0.4</v>
      </c>
      <c r="H4" s="2">
        <v>2</v>
      </c>
      <c r="I4" s="4" t="s">
        <v>43</v>
      </c>
      <c r="J4">
        <f t="shared" si="0"/>
        <v>7000</v>
      </c>
      <c r="K4">
        <f t="shared" si="1"/>
        <v>500</v>
      </c>
      <c r="L4" s="5">
        <f t="shared" si="2"/>
        <v>-9.9999999999999978E-2</v>
      </c>
    </row>
    <row r="5" spans="1:12" x14ac:dyDescent="0.3">
      <c r="A5" s="4" t="s">
        <v>17</v>
      </c>
      <c r="B5" s="4" t="s">
        <v>18</v>
      </c>
      <c r="C5" s="2">
        <v>6000</v>
      </c>
      <c r="D5" s="2">
        <v>1500</v>
      </c>
      <c r="E5" s="2">
        <v>6500</v>
      </c>
      <c r="F5" s="6">
        <v>0.3</v>
      </c>
      <c r="G5" s="6">
        <v>0.2</v>
      </c>
      <c r="H5" s="2">
        <v>1</v>
      </c>
      <c r="I5" s="4" t="s">
        <v>14</v>
      </c>
      <c r="J5">
        <f t="shared" si="0"/>
        <v>4500</v>
      </c>
      <c r="K5">
        <f t="shared" si="1"/>
        <v>-500</v>
      </c>
      <c r="L5" s="5">
        <f t="shared" si="2"/>
        <v>-9.9999999999999978E-2</v>
      </c>
    </row>
    <row r="6" spans="1:12" ht="28.8" x14ac:dyDescent="0.3">
      <c r="A6" s="4" t="s">
        <v>19</v>
      </c>
      <c r="B6" s="4" t="s">
        <v>20</v>
      </c>
      <c r="C6" s="2">
        <v>9000</v>
      </c>
      <c r="D6" s="2">
        <v>0</v>
      </c>
      <c r="E6" s="2">
        <v>9000</v>
      </c>
      <c r="F6" s="6">
        <v>0.1</v>
      </c>
      <c r="G6" s="6">
        <v>0</v>
      </c>
      <c r="H6" s="2">
        <v>1</v>
      </c>
      <c r="I6" s="4" t="s">
        <v>11</v>
      </c>
      <c r="J6">
        <f t="shared" si="0"/>
        <v>9000</v>
      </c>
      <c r="K6">
        <f t="shared" si="1"/>
        <v>0</v>
      </c>
      <c r="L6" s="5">
        <f t="shared" si="2"/>
        <v>-0.1</v>
      </c>
    </row>
  </sheetData>
  <conditionalFormatting sqref="I2">
    <cfRule type="containsText" dxfId="8" priority="5" operator="containsText" text="Green">
      <formula>NOT(ISERROR(SEARCH("Green",I2)))</formula>
    </cfRule>
  </conditionalFormatting>
  <conditionalFormatting sqref="I3">
    <cfRule type="containsText" dxfId="7" priority="4" operator="containsText" text="Amber">
      <formula>NOT(ISERROR(SEARCH("Amber",I3)))</formula>
    </cfRule>
  </conditionalFormatting>
  <conditionalFormatting sqref="I4">
    <cfRule type="containsText" dxfId="6" priority="3" operator="containsText" text="Red">
      <formula>NOT(ISERROR(SEARCH("Red",I4)))</formula>
    </cfRule>
  </conditionalFormatting>
  <conditionalFormatting sqref="I5">
    <cfRule type="containsText" dxfId="5" priority="2" operator="containsText" text="Amber">
      <formula>NOT(ISERROR(SEARCH("Amber",I5)))</formula>
    </cfRule>
  </conditionalFormatting>
  <conditionalFormatting sqref="I6">
    <cfRule type="containsText" dxfId="0" priority="1" operator="containsText" text="Green">
      <formula>NOT(ISERROR(SEARCH("Green",I6)))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4649-F974-4169-A952-83B74D6B56BE}">
  <dimension ref="A1:P35"/>
  <sheetViews>
    <sheetView showGridLines="0" zoomScale="85" zoomScaleNormal="85" workbookViewId="0">
      <selection activeCell="B6" sqref="B6"/>
    </sheetView>
  </sheetViews>
  <sheetFormatPr defaultRowHeight="14.4" x14ac:dyDescent="0.3"/>
  <cols>
    <col min="1" max="1" width="17.77734375" customWidth="1"/>
    <col min="14" max="14" width="13.5546875" customWidth="1"/>
    <col min="15" max="15" width="12" customWidth="1"/>
    <col min="16" max="16" width="35.5546875" customWidth="1"/>
  </cols>
  <sheetData>
    <row r="1" spans="1:13" x14ac:dyDescent="0.3">
      <c r="A1" s="7" t="s">
        <v>24</v>
      </c>
      <c r="B1" s="7" t="s">
        <v>25</v>
      </c>
      <c r="D1" s="8" t="s">
        <v>31</v>
      </c>
      <c r="E1" s="8"/>
      <c r="F1" s="8"/>
      <c r="G1" s="8"/>
      <c r="H1" s="8"/>
      <c r="I1" s="8"/>
      <c r="J1" s="8"/>
      <c r="K1" s="8"/>
      <c r="L1" s="8"/>
      <c r="M1" s="8"/>
    </row>
    <row r="2" spans="1:13" x14ac:dyDescent="0.3">
      <c r="A2" t="s">
        <v>26</v>
      </c>
      <c r="B2">
        <f>SUM(Data!C2:C6)</f>
        <v>65000</v>
      </c>
      <c r="D2" s="27" t="s">
        <v>48</v>
      </c>
      <c r="E2" s="27"/>
      <c r="F2" s="27"/>
      <c r="G2" s="27"/>
      <c r="H2" s="27"/>
      <c r="I2" s="27"/>
      <c r="J2" s="27"/>
      <c r="K2" s="27"/>
      <c r="L2" s="27"/>
      <c r="M2" s="27"/>
    </row>
    <row r="3" spans="1:13" x14ac:dyDescent="0.3">
      <c r="A3" t="s">
        <v>34</v>
      </c>
      <c r="B3">
        <f>SUM(Data!D2:D6)</f>
        <v>36000</v>
      </c>
      <c r="D3" s="16" t="s">
        <v>32</v>
      </c>
      <c r="E3" s="17"/>
      <c r="F3" s="16" t="s">
        <v>34</v>
      </c>
      <c r="G3" s="17"/>
      <c r="H3" s="16" t="s">
        <v>27</v>
      </c>
      <c r="I3" s="17"/>
      <c r="J3" s="18" t="s">
        <v>33</v>
      </c>
      <c r="K3" s="19"/>
      <c r="L3" s="20" t="s">
        <v>7</v>
      </c>
      <c r="M3" s="21"/>
    </row>
    <row r="4" spans="1:13" x14ac:dyDescent="0.3">
      <c r="A4" t="s">
        <v>27</v>
      </c>
      <c r="B4">
        <f>SUM(Data!E2:E6)</f>
        <v>66800</v>
      </c>
      <c r="D4" s="22">
        <f>B2</f>
        <v>65000</v>
      </c>
      <c r="E4" s="22"/>
      <c r="F4" s="22">
        <f>B3</f>
        <v>36000</v>
      </c>
      <c r="G4" s="22"/>
      <c r="H4" s="22">
        <f>B4</f>
        <v>66800</v>
      </c>
      <c r="I4" s="22"/>
      <c r="J4" s="23">
        <f>B8</f>
        <v>0.46000000000000008</v>
      </c>
      <c r="K4" s="24"/>
      <c r="L4" s="21">
        <f>B9</f>
        <v>7</v>
      </c>
      <c r="M4" s="21"/>
    </row>
    <row r="5" spans="1:13" x14ac:dyDescent="0.3">
      <c r="A5" t="s">
        <v>28</v>
      </c>
      <c r="B5">
        <f>B2-B3</f>
        <v>29000</v>
      </c>
      <c r="D5" s="22"/>
      <c r="E5" s="22"/>
      <c r="F5" s="22"/>
      <c r="G5" s="22"/>
      <c r="H5" s="22"/>
      <c r="I5" s="22"/>
      <c r="J5" s="24"/>
      <c r="K5" s="24"/>
      <c r="L5" s="21"/>
      <c r="M5" s="21"/>
    </row>
    <row r="6" spans="1:13" x14ac:dyDescent="0.3">
      <c r="A6" t="s">
        <v>22</v>
      </c>
      <c r="B6">
        <f>B2-B4</f>
        <v>-1800</v>
      </c>
      <c r="D6" s="7"/>
    </row>
    <row r="7" spans="1:13" x14ac:dyDescent="0.3">
      <c r="A7" t="s">
        <v>29</v>
      </c>
      <c r="B7" s="9">
        <f>B3/B2</f>
        <v>0.55384615384615388</v>
      </c>
      <c r="D7" s="25" t="s">
        <v>28</v>
      </c>
      <c r="E7" s="25"/>
      <c r="F7" s="25"/>
      <c r="H7" s="21" t="s">
        <v>22</v>
      </c>
      <c r="I7" s="21"/>
      <c r="J7" s="21"/>
    </row>
    <row r="8" spans="1:13" x14ac:dyDescent="0.3">
      <c r="A8" t="s">
        <v>30</v>
      </c>
      <c r="B8" s="5">
        <f>AVERAGE(Data!G2:G6)</f>
        <v>0.46000000000000008</v>
      </c>
      <c r="D8" s="26">
        <f>B5</f>
        <v>29000</v>
      </c>
      <c r="E8" s="26"/>
      <c r="F8" s="26"/>
      <c r="H8" s="38">
        <f>B6</f>
        <v>-1800</v>
      </c>
      <c r="I8" s="38"/>
      <c r="J8" s="38"/>
    </row>
    <row r="9" spans="1:13" x14ac:dyDescent="0.3">
      <c r="A9" t="s">
        <v>7</v>
      </c>
      <c r="B9">
        <f>SUM(Data!H2:H6)</f>
        <v>7</v>
      </c>
      <c r="D9" s="26"/>
      <c r="E9" s="26"/>
      <c r="F9" s="26"/>
      <c r="H9" s="38"/>
      <c r="I9" s="38"/>
      <c r="J9" s="38"/>
    </row>
    <row r="29" spans="1:16" x14ac:dyDescent="0.3">
      <c r="A29" s="28" t="s">
        <v>35</v>
      </c>
      <c r="B29" s="29"/>
      <c r="C29" s="29"/>
      <c r="D29" s="30"/>
      <c r="E29" s="31"/>
      <c r="N29" s="12" t="s">
        <v>47</v>
      </c>
      <c r="O29" s="13"/>
      <c r="P29" s="13"/>
    </row>
    <row r="30" spans="1:16" x14ac:dyDescent="0.3">
      <c r="A30" s="32" t="s">
        <v>36</v>
      </c>
      <c r="B30" s="33"/>
      <c r="C30" s="33"/>
      <c r="D30" s="33"/>
      <c r="E30" s="34"/>
      <c r="N30" s="14" t="s">
        <v>0</v>
      </c>
      <c r="O30" s="14" t="s">
        <v>8</v>
      </c>
      <c r="P30" s="14" t="s">
        <v>40</v>
      </c>
    </row>
    <row r="31" spans="1:16" x14ac:dyDescent="0.3">
      <c r="A31" s="32" t="s">
        <v>37</v>
      </c>
      <c r="B31" s="33"/>
      <c r="C31" s="33"/>
      <c r="D31" s="33"/>
      <c r="E31" s="34"/>
      <c r="N31" s="15" t="s">
        <v>9</v>
      </c>
      <c r="O31" s="15" t="s">
        <v>11</v>
      </c>
      <c r="P31" s="15" t="s">
        <v>41</v>
      </c>
    </row>
    <row r="32" spans="1:16" x14ac:dyDescent="0.3">
      <c r="A32" s="32" t="s">
        <v>38</v>
      </c>
      <c r="B32" s="33"/>
      <c r="C32" s="33"/>
      <c r="D32" s="33"/>
      <c r="E32" s="34"/>
      <c r="N32" s="15" t="s">
        <v>12</v>
      </c>
      <c r="O32" s="15" t="s">
        <v>14</v>
      </c>
      <c r="P32" s="15" t="s">
        <v>42</v>
      </c>
    </row>
    <row r="33" spans="1:16" x14ac:dyDescent="0.3">
      <c r="A33" s="35" t="s">
        <v>39</v>
      </c>
      <c r="B33" s="36"/>
      <c r="C33" s="36"/>
      <c r="D33" s="36"/>
      <c r="E33" s="37"/>
      <c r="N33" s="15" t="s">
        <v>15</v>
      </c>
      <c r="O33" s="15" t="s">
        <v>43</v>
      </c>
      <c r="P33" s="15" t="s">
        <v>44</v>
      </c>
    </row>
    <row r="34" spans="1:16" x14ac:dyDescent="0.3">
      <c r="N34" s="15" t="s">
        <v>17</v>
      </c>
      <c r="O34" s="15" t="s">
        <v>14</v>
      </c>
      <c r="P34" s="15" t="s">
        <v>45</v>
      </c>
    </row>
    <row r="35" spans="1:16" x14ac:dyDescent="0.3">
      <c r="N35" s="15" t="s">
        <v>19</v>
      </c>
      <c r="O35" s="15" t="s">
        <v>11</v>
      </c>
      <c r="P35" s="15" t="s">
        <v>46</v>
      </c>
    </row>
  </sheetData>
  <mergeCells count="17">
    <mergeCell ref="D1:M1"/>
    <mergeCell ref="N29:P29"/>
    <mergeCell ref="D2:M2"/>
    <mergeCell ref="J3:K3"/>
    <mergeCell ref="J4:K5"/>
    <mergeCell ref="L3:M3"/>
    <mergeCell ref="L4:M5"/>
    <mergeCell ref="D7:F7"/>
    <mergeCell ref="H7:J7"/>
    <mergeCell ref="D8:F9"/>
    <mergeCell ref="H8:J9"/>
    <mergeCell ref="D3:E3"/>
    <mergeCell ref="D4:E5"/>
    <mergeCell ref="F3:G3"/>
    <mergeCell ref="F4:G5"/>
    <mergeCell ref="H3:I3"/>
    <mergeCell ref="H4:I5"/>
  </mergeCells>
  <conditionalFormatting sqref="O31">
    <cfRule type="containsText" dxfId="19" priority="5" operator="containsText" text="Green">
      <formula>NOT(ISERROR(SEARCH("Green",O31)))</formula>
    </cfRule>
  </conditionalFormatting>
  <conditionalFormatting sqref="O32">
    <cfRule type="containsText" dxfId="18" priority="4" operator="containsText" text="Amber">
      <formula>NOT(ISERROR(SEARCH("Amber",O32)))</formula>
    </cfRule>
  </conditionalFormatting>
  <conditionalFormatting sqref="O33">
    <cfRule type="containsText" dxfId="17" priority="3" operator="containsText" text="Red">
      <formula>NOT(ISERROR(SEARCH("Red",O33)))</formula>
    </cfRule>
  </conditionalFormatting>
  <conditionalFormatting sqref="O34">
    <cfRule type="containsText" dxfId="16" priority="2" operator="containsText" text="Amber">
      <formula>NOT(ISERROR(SEARCH("Amber",O34)))</formula>
    </cfRule>
  </conditionalFormatting>
  <conditionalFormatting sqref="O35">
    <cfRule type="containsText" dxfId="15" priority="1" operator="containsText" text="Green">
      <formula>NOT(ISERROR(SEARCH("Green",O35)))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592D9-F86C-483F-81CE-380226DC8310}">
  <dimension ref="A1:N32"/>
  <sheetViews>
    <sheetView topLeftCell="A13" workbookViewId="0">
      <selection activeCell="Q32" sqref="Q32"/>
    </sheetView>
  </sheetViews>
  <sheetFormatPr defaultRowHeight="14.4" x14ac:dyDescent="0.3"/>
  <cols>
    <col min="1" max="1" width="10.88671875" customWidth="1"/>
  </cols>
  <sheetData>
    <row r="1" spans="1:2" x14ac:dyDescent="0.3">
      <c r="A1" s="10" t="s">
        <v>49</v>
      </c>
      <c r="B1" s="11"/>
    </row>
    <row r="2" spans="1:2" x14ac:dyDescent="0.3">
      <c r="A2" t="s">
        <v>50</v>
      </c>
    </row>
    <row r="4" spans="1:2" x14ac:dyDescent="0.3">
      <c r="A4" s="7" t="s">
        <v>51</v>
      </c>
    </row>
    <row r="5" spans="1:2" x14ac:dyDescent="0.3">
      <c r="A5" t="s">
        <v>52</v>
      </c>
    </row>
    <row r="7" spans="1:2" x14ac:dyDescent="0.3">
      <c r="A7" s="7" t="s">
        <v>53</v>
      </c>
    </row>
    <row r="8" spans="1:2" x14ac:dyDescent="0.3">
      <c r="A8" t="s">
        <v>54</v>
      </c>
    </row>
    <row r="10" spans="1:2" x14ac:dyDescent="0.3">
      <c r="A10" s="7" t="s">
        <v>55</v>
      </c>
    </row>
    <row r="11" spans="1:2" x14ac:dyDescent="0.3">
      <c r="A11" t="s">
        <v>56</v>
      </c>
    </row>
    <row r="12" spans="1:2" x14ac:dyDescent="0.3">
      <c r="A12" t="s">
        <v>57</v>
      </c>
    </row>
    <row r="13" spans="1:2" x14ac:dyDescent="0.3">
      <c r="A13" t="s">
        <v>58</v>
      </c>
    </row>
    <row r="14" spans="1:2" x14ac:dyDescent="0.3">
      <c r="A14" t="s">
        <v>59</v>
      </c>
    </row>
    <row r="15" spans="1:2" x14ac:dyDescent="0.3">
      <c r="A15" t="s">
        <v>60</v>
      </c>
    </row>
    <row r="16" spans="1:2" x14ac:dyDescent="0.3">
      <c r="A16" t="s">
        <v>61</v>
      </c>
    </row>
    <row r="17" spans="1:14" x14ac:dyDescent="0.3">
      <c r="A17" t="s">
        <v>62</v>
      </c>
    </row>
    <row r="18" spans="1:14" x14ac:dyDescent="0.3">
      <c r="A18" t="s">
        <v>63</v>
      </c>
    </row>
    <row r="20" spans="1:14" x14ac:dyDescent="0.3">
      <c r="A20" s="7" t="s">
        <v>64</v>
      </c>
    </row>
    <row r="21" spans="1:14" x14ac:dyDescent="0.3">
      <c r="A21" t="s">
        <v>65</v>
      </c>
    </row>
    <row r="22" spans="1:14" x14ac:dyDescent="0.3">
      <c r="A22" t="s">
        <v>66</v>
      </c>
    </row>
    <row r="23" spans="1:14" x14ac:dyDescent="0.3">
      <c r="A23" t="s">
        <v>67</v>
      </c>
    </row>
    <row r="24" spans="1:14" x14ac:dyDescent="0.3">
      <c r="A24" t="s">
        <v>68</v>
      </c>
    </row>
    <row r="25" spans="1:14" x14ac:dyDescent="0.3">
      <c r="A25" t="s">
        <v>69</v>
      </c>
    </row>
    <row r="26" spans="1:14" x14ac:dyDescent="0.3">
      <c r="A26" t="s">
        <v>37</v>
      </c>
    </row>
    <row r="28" spans="1:14" x14ac:dyDescent="0.3">
      <c r="A28" s="7" t="s">
        <v>70</v>
      </c>
    </row>
    <row r="29" spans="1:14" x14ac:dyDescent="0.3">
      <c r="A29" t="s">
        <v>71</v>
      </c>
    </row>
    <row r="32" spans="1:14" x14ac:dyDescent="0.3">
      <c r="A32" s="8" t="s">
        <v>72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</sheetData>
  <mergeCells count="2">
    <mergeCell ref="A1:B1"/>
    <mergeCell ref="A32:N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Gongle</dc:creator>
  <cp:lastModifiedBy>Prathamesh Gongle</cp:lastModifiedBy>
  <dcterms:created xsi:type="dcterms:W3CDTF">2026-10-07T15:44:07Z</dcterms:created>
  <dcterms:modified xsi:type="dcterms:W3CDTF">2026-10-07T16:55:14Z</dcterms:modified>
</cp:coreProperties>
</file>